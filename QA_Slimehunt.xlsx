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F3B0FA11-9097-4677-9D82-8B0EC0660F18}" xr6:coauthVersionLast="47" xr6:coauthVersionMax="47" xr10:uidLastSave="{00000000-0000-0000-0000-000000000000}"/>
  <bookViews>
    <workbookView xWindow="240" yWindow="105" windowWidth="14805" windowHeight="8010" firstSheet="3" xr2:uid="{00000000-000D-0000-FFFF-FFFF00000000}"/>
  </bookViews>
  <sheets>
    <sheet name="결과 보고서" sheetId="6" r:id="rId1"/>
    <sheet name="테스트케이스" sheetId="1" r:id="rId2"/>
    <sheet name="버그리포트" sheetId="2" r:id="rId3"/>
    <sheet name="시나리오 테스트" sheetId="4" r:id="rId4"/>
    <sheet name="회귀 테스트" sheetId="3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5" i="6" l="1"/>
  <c r="I24" i="6"/>
  <c r="I23" i="6"/>
  <c r="I22" i="6"/>
  <c r="I21" i="6"/>
  <c r="C22" i="6"/>
  <c r="C24" i="6"/>
  <c r="C23" i="6"/>
  <c r="C21" i="6"/>
  <c r="C25" i="6" s="1"/>
  <c r="E15" i="6"/>
  <c r="E14" i="6"/>
  <c r="D15" i="6"/>
  <c r="D14" i="6"/>
  <c r="D13" i="6"/>
  <c r="D16" i="6" s="1"/>
  <c r="E13" i="6"/>
  <c r="E16" i="6" s="1"/>
  <c r="C15" i="6"/>
  <c r="F15" i="6" s="1"/>
  <c r="C14" i="6"/>
  <c r="F14" i="6" s="1"/>
  <c r="C13" i="6"/>
  <c r="C4" i="1"/>
  <c r="B4" i="1"/>
  <c r="A4" i="1"/>
  <c r="D4" i="1"/>
  <c r="C16" i="6" l="1"/>
  <c r="G13" i="6"/>
  <c r="F13" i="6"/>
  <c r="F16" i="6" s="1"/>
  <c r="G16" i="6"/>
  <c r="G14" i="6"/>
  <c r="G15" i="6"/>
  <c r="E4" i="1"/>
</calcChain>
</file>

<file path=xl/sharedStrings.xml><?xml version="1.0" encoding="utf-8"?>
<sst xmlns="http://schemas.openxmlformats.org/spreadsheetml/2006/main" count="389" uniqueCount="284">
  <si>
    <t>테스트 결과 보고서</t>
  </si>
  <si>
    <t>테스트 대상</t>
  </si>
  <si>
    <t xml:space="preserve">슬라임사냥, 슬라임 사냥v2 </t>
  </si>
  <si>
    <t>테스터</t>
  </si>
  <si>
    <t>공희성</t>
  </si>
  <si>
    <t>테스트 환경</t>
  </si>
  <si>
    <t>PC/MacOS/FireFox</t>
  </si>
  <si>
    <t>구분</t>
  </si>
  <si>
    <t>전체</t>
  </si>
  <si>
    <t>Pass</t>
  </si>
  <si>
    <t>Fail</t>
  </si>
  <si>
    <t xml:space="preserve">미실행 </t>
  </si>
  <si>
    <t>Pass율</t>
  </si>
  <si>
    <t>테스트케이스</t>
  </si>
  <si>
    <t>시나리오 테스트</t>
  </si>
  <si>
    <t>회귀 테스트</t>
  </si>
  <si>
    <t>합계</t>
  </si>
  <si>
    <t>버그 현황 (심각도)</t>
  </si>
  <si>
    <t>건수</t>
  </si>
  <si>
    <t>버그 현황(상태)</t>
  </si>
  <si>
    <t>치명</t>
  </si>
  <si>
    <t>신규</t>
  </si>
  <si>
    <t>높음</t>
  </si>
  <si>
    <t>수정</t>
  </si>
  <si>
    <t>보통</t>
  </si>
  <si>
    <t>확인</t>
  </si>
  <si>
    <t>낮음</t>
  </si>
  <si>
    <t>재검증</t>
  </si>
  <si>
    <t>종료</t>
  </si>
  <si>
    <t>https://pigpenguinman.github.io/QA_Game/</t>
  </si>
  <si>
    <t>이 페이지의 게임으로 만든 테스트 케이스와 버그리포트 입니다</t>
  </si>
  <si>
    <t>미실행</t>
  </si>
  <si>
    <t>Pass 비율</t>
  </si>
  <si>
    <t>TC ID</t>
  </si>
  <si>
    <t>기능</t>
  </si>
  <si>
    <t>테스트 항목</t>
  </si>
  <si>
    <t>사전조건</t>
  </si>
  <si>
    <t>테스트 절차</t>
  </si>
  <si>
    <t>기대결과</t>
  </si>
  <si>
    <t>실제결과</t>
  </si>
  <si>
    <t>P/F</t>
  </si>
  <si>
    <t>비고(버그 ID)</t>
  </si>
  <si>
    <t>TC - 001</t>
  </si>
  <si>
    <t>공격</t>
  </si>
  <si>
    <t>공격 피해량 범위</t>
  </si>
  <si>
    <t>전투 시작</t>
  </si>
  <si>
    <t>공격 버튼 여러번 클릭</t>
  </si>
  <si>
    <t>피해가 10~15 범위, 슬라임 HP감소 표시</t>
  </si>
  <si>
    <t>피해 10~15범위, 슬라임 HP감소 표시</t>
  </si>
  <si>
    <t>TC - 002</t>
  </si>
  <si>
    <t>스킬</t>
  </si>
  <si>
    <t>스킬 피해량 범위</t>
  </si>
  <si>
    <t>MP 30 이상</t>
  </si>
  <si>
    <t>스킬 사용 후 로그와 슬라임 HP 감소량 비교</t>
  </si>
  <si>
    <t>버튼/로그의 피해량표기(25)와 실제 감소량 동일</t>
  </si>
  <si>
    <t>피해량 표기(25)와 실제 피해량(20) 다름</t>
  </si>
  <si>
    <t>BUG - 001</t>
  </si>
  <si>
    <t>TC - 003</t>
  </si>
  <si>
    <t>MP소모 및 MP부족</t>
  </si>
  <si>
    <t>MP가 0이 될때까지 스킬 사용 후 한번 더 사용</t>
  </si>
  <si>
    <t>MP 10씩 감소, MP 부족 시 사용 불가 표시</t>
  </si>
  <si>
    <t>MP10씩 감소, MP부족 시 사용불가 표시</t>
  </si>
  <si>
    <t>TC - 004</t>
  </si>
  <si>
    <t>방어</t>
  </si>
  <si>
    <t>방어 효과 지속시간</t>
  </si>
  <si>
    <t>방어 사용 후 방어 이외의 다른 행동하며 피해 확인</t>
  </si>
  <si>
    <t>방어를 사용한 턴에만 피해 감소, 이후 정상 피해(8~14)</t>
  </si>
  <si>
    <t>방어를 사용한 턴 이후에도 감소된 피해받음</t>
  </si>
  <si>
    <t>BUG - 002</t>
  </si>
  <si>
    <t>TC - 005</t>
  </si>
  <si>
    <t>새 전투에서 방어 상태</t>
  </si>
  <si>
    <t>방어 사용후 승리</t>
  </si>
  <si>
    <t>방어를 사용한 전투가 끝난 후 새 전투에서 피해 확인</t>
  </si>
  <si>
    <t>방어 상태가 초기화 됌</t>
  </si>
  <si>
    <t>방어 상태가 초기화 되지 않고 감소된 피해받음</t>
  </si>
  <si>
    <t>BUG - 003</t>
  </si>
  <si>
    <t>TC - 006</t>
  </si>
  <si>
    <t>포션</t>
  </si>
  <si>
    <t>HP 최대치에서 사용</t>
  </si>
  <si>
    <t>HP 최대치</t>
  </si>
  <si>
    <t>HP가 최대치일때 포션 사용 클릭</t>
  </si>
  <si>
    <t>HP가 최대치를 넘지 않고 사용불가 표시</t>
  </si>
  <si>
    <t>HP가 최대치를 넘어 회복</t>
  </si>
  <si>
    <t>BUG - 004</t>
  </si>
  <si>
    <t>TC - 007</t>
  </si>
  <si>
    <t>포션 0개일때 사용</t>
  </si>
  <si>
    <t>포션을 모두 소모</t>
  </si>
  <si>
    <t>포션 사용 클릭</t>
  </si>
  <si>
    <t>포션 사용 불가 표시 및 개수와 HP의 변화 없음</t>
  </si>
  <si>
    <t>HP가 회복되고 포션 갯수가 -1로 표시</t>
  </si>
  <si>
    <t>BUG - 005</t>
  </si>
  <si>
    <t>TC - 008</t>
  </si>
  <si>
    <t>상점</t>
  </si>
  <si>
    <t>골드가 15G만큼 있을때 구매</t>
  </si>
  <si>
    <t>골드 15G 만들기</t>
  </si>
  <si>
    <t>포션 구매 클릭</t>
  </si>
  <si>
    <t>구매 성공 골드 0, 포션 +1</t>
  </si>
  <si>
    <t>골드 부족 표시, 골드와 포션 갯수 변화 없음</t>
  </si>
  <si>
    <t>BUG - 006</t>
  </si>
  <si>
    <t>TC - 009</t>
  </si>
  <si>
    <t>골드가 부족할때 구매</t>
  </si>
  <si>
    <t>골드 15G 미만</t>
  </si>
  <si>
    <t>골드 부족 표시 , 골드와 포션 변화 없음</t>
  </si>
  <si>
    <t>구매 실패 표시, 골드와 포션 갯수 변화 없음</t>
  </si>
  <si>
    <t>TC - 010</t>
  </si>
  <si>
    <t>전투 종료</t>
  </si>
  <si>
    <t>처치 후 적 반격</t>
  </si>
  <si>
    <t>슬라임 HP를 0으로만들기</t>
  </si>
  <si>
    <t>처치 직후 로그와 플레이어 HP 확인</t>
  </si>
  <si>
    <t>처치 후 추가 피해 없음, '승리' 상태 유지</t>
  </si>
  <si>
    <t>처치 후에도 피해 입음, '승리' 상태 유지</t>
  </si>
  <si>
    <t>Check - 01</t>
  </si>
  <si>
    <t>TC - 011</t>
  </si>
  <si>
    <t>내 HP 표시 하한</t>
  </si>
  <si>
    <t>내 HP가 낮은 상태</t>
  </si>
  <si>
    <t>패배할 때까지 진행 후 플레이어 HP 숫자 확인</t>
  </si>
  <si>
    <t>플레이어 HP가 0미만으로 표시되지 않음</t>
  </si>
  <si>
    <t>플레이어 HP가 0미만 음수로 표시</t>
  </si>
  <si>
    <t>BUG - 007</t>
  </si>
  <si>
    <t>TC - 012</t>
  </si>
  <si>
    <t>적 HP 표시 하한</t>
  </si>
  <si>
    <t>슬라임 HP가 낮은 상태</t>
  </si>
  <si>
    <t>큰 피해로 처치 후 슬라임 HP 숫자 확인</t>
  </si>
  <si>
    <t>슬라임의 HP가 0미만으로 표시되지 않음</t>
  </si>
  <si>
    <t>슬라임의 HP가 0미만 음수로 표시</t>
  </si>
  <si>
    <t>TC - 013</t>
  </si>
  <si>
    <t>성장</t>
  </si>
  <si>
    <t>레벨업 시 EXP 처리</t>
  </si>
  <si>
    <t>레벨업할 때까지 전투에서 승리</t>
  </si>
  <si>
    <t>승리할 때 EXP 변화 확인</t>
  </si>
  <si>
    <t>레벨업 시 초과 경험치 이월, 최대 HP +10</t>
  </si>
  <si>
    <t>초과된 경험치는 사라짐, 최대 HP +10</t>
  </si>
  <si>
    <t>BUG - 008</t>
  </si>
  <si>
    <t>TC - 014</t>
  </si>
  <si>
    <t>재시작</t>
  </si>
  <si>
    <t>패배 후 재시작</t>
  </si>
  <si>
    <t xml:space="preserve">패배 상태 </t>
  </si>
  <si>
    <t>새 전투/재시작 클릭</t>
  </si>
  <si>
    <t>가장 처음 상태로 돌아옴 (레벨,HP,포션갯수 등)</t>
  </si>
  <si>
    <t>가장 처음 상태로 돌아옴</t>
  </si>
  <si>
    <t>TC - 015</t>
  </si>
  <si>
    <t>종료 후 행동버튼</t>
  </si>
  <si>
    <t>승리 또는 패배</t>
  </si>
  <si>
    <t>공격/스킬/포션 버튼 클릭</t>
  </si>
  <si>
    <t>전투 종료 안내 표시, 상태 변화 없음</t>
  </si>
  <si>
    <t>버그 ID</t>
  </si>
  <si>
    <t>제목</t>
  </si>
  <si>
    <t>발견 환경
(OS/브라우저/기기)</t>
  </si>
  <si>
    <t>심각도</t>
  </si>
  <si>
    <t>우선 순위</t>
  </si>
  <si>
    <t>재현율</t>
  </si>
  <si>
    <t>사전 조건</t>
  </si>
  <si>
    <t>재현 절차</t>
  </si>
  <si>
    <t>기대 결과</t>
  </si>
  <si>
    <t>실제 결과</t>
  </si>
  <si>
    <t>첨부</t>
  </si>
  <si>
    <t>상태</t>
  </si>
  <si>
    <t xml:space="preserve">스킬의 피해량이 표기와 다름 </t>
  </si>
  <si>
    <t>MacOS/FireFox/MacBook Air</t>
  </si>
  <si>
    <t>5/5</t>
  </si>
  <si>
    <t>1.스킬 버튼 클릭 
2.로그와 슬라임 HP 감소량 비교</t>
  </si>
  <si>
    <t>로그와 버튼에 표기된 피해량과 실제 피해량이 같음</t>
  </si>
  <si>
    <t>로그와 버튼에 표기된 피해량(25)이 실제 피해량(20) 다름</t>
  </si>
  <si>
    <t>방어상태가 해제되지 않음</t>
  </si>
  <si>
    <t>1.방어 버튼 클릭
2.다른 행동버튼을 누르고 피해량 비교</t>
  </si>
  <si>
    <t>방어를 사용한 턴에만 피해가 감소되고 그 이후엔 정상적인 피해량이 표시</t>
  </si>
  <si>
    <t>방어를 사용한 턴 이후에도 방어를 사용했을 떄 와 같은 피해량 표시</t>
  </si>
  <si>
    <t>전투 종료 후 방어 상태가 해제되지 않음</t>
  </si>
  <si>
    <t>방어를 사용한 전투 종료 후 전투 시작</t>
  </si>
  <si>
    <t>로그에서 이전 전투에서 방어를 쓰기전 피해량과 
방어를 쓰지않은 지금 전투의 피해량 비교</t>
  </si>
  <si>
    <t>방어를 사용하지 않은 새 전투에서 정상적인 피해량 표시</t>
  </si>
  <si>
    <t>방어를 사용하지 않은 새 전투에서도 방어 상태가 유지가 되어
피해량이 감소되어 표시</t>
  </si>
  <si>
    <t>HP가 최대치일떄 포션이 사용됌</t>
  </si>
  <si>
    <t>HP가 최대치일때 포션 버튼 클릭</t>
  </si>
  <si>
    <t>포션이 사용되지 않고 사용불가 표시</t>
  </si>
  <si>
    <t>포션이 사용되며 HP가 최대치를 초과</t>
  </si>
  <si>
    <t>포션이 0개인데 사용됌</t>
  </si>
  <si>
    <t>포션 갯수가 0 일때  포션 버튼 클릭</t>
  </si>
  <si>
    <t>포션 갯수와 HP 변화없음 및 사용불가 표시</t>
  </si>
  <si>
    <t>포션이 사용되며 갯수가 -1 로 표시</t>
  </si>
  <si>
    <t>골드 15G가 있지만 포션 구매 불가</t>
  </si>
  <si>
    <t>골드 15G로 만들기</t>
  </si>
  <si>
    <t>15G일때 포션 구매 버튼 클릭</t>
  </si>
  <si>
    <t>포션이 구매되고 골드가 0으로 변경</t>
  </si>
  <si>
    <t>골드 부족 표시 및 골드와 포션 갯수 변화 없음</t>
  </si>
  <si>
    <t>HP보다 많은 피해를 받았을때 HP 음수표시</t>
  </si>
  <si>
    <t>플레이어 또는 슬라임의 HP를 피해량보다 적게 만들기</t>
  </si>
  <si>
    <t>슬라임의 HP가 적을 때 HP보다 높은 피해 주기 또는 
플레이어의 HP가 슬라임의 피해량 보다 낮을때 맞기</t>
  </si>
  <si>
    <t>플레이어 및 슬라임의 HP가 0미만으로 표시되지 않음</t>
  </si>
  <si>
    <t>플레이어 및 슬라임의 HP가 0미만인 음수로 표시</t>
  </si>
  <si>
    <t>레벨업을 할 때 초과 경험치가 이월 되지 않음</t>
  </si>
  <si>
    <t>레벨업하기 직전 까지 전투에서 승리</t>
  </si>
  <si>
    <t>1.가지고 있는 경험치 확인 
2.전투에서 승리해 레벨업을 한 후 경험치 확인</t>
  </si>
  <si>
    <t>레벨업을 한 후 초과환 경험치는 이월되어 경험치에 더해짐</t>
  </si>
  <si>
    <t>경험치가 이월되지 않고 0으로 표시</t>
  </si>
  <si>
    <t>Check - 001</t>
  </si>
  <si>
    <t>처치 후 적이 슬라임이 반격 함</t>
  </si>
  <si>
    <t>슬라임의 HP를 0으로 만들기</t>
  </si>
  <si>
    <t>슬라임을 처치 후 로그와 플레이어의 HP 확인</t>
  </si>
  <si>
    <t>(기획 의도) 슬라임보다 먼저 공격을 해 처치했기에 피해를 입지않고 전투 종료</t>
  </si>
  <si>
    <t xml:space="preserve">슬라임이 처치되었지만 반격해 플레이어가 피해를 입음 </t>
  </si>
  <si>
    <t>SC ID</t>
  </si>
  <si>
    <t>시나리오 명</t>
  </si>
  <si>
    <t>목적</t>
  </si>
  <si>
    <t xml:space="preserve">절차 </t>
  </si>
  <si>
    <t xml:space="preserve">기대 결과 </t>
  </si>
  <si>
    <t>비고</t>
  </si>
  <si>
    <t>SC - 001</t>
  </si>
  <si>
    <t xml:space="preserve">첫 전투 완주 </t>
  </si>
  <si>
    <t>기본적인 플레이 흐름 확인</t>
  </si>
  <si>
    <t>1.페이지 새로고침  
2.공격 및 스킬을 사용하여 슬라임 처치
3.골드/EXP/로그 확인
4.새 전투 시작</t>
  </si>
  <si>
    <t>슬라임 처치 / 골드+20 / EXP+30 표시 및 새 전투에서 슬라임 HP 60</t>
  </si>
  <si>
    <t>SC - 002</t>
  </si>
  <si>
    <t>포션 소진 및 구매</t>
  </si>
  <si>
    <t>아이템 수량 및 구매 흐름 확인</t>
  </si>
  <si>
    <t>1.포션을 모두 사용
2.포션을 한번 더 사용
3.골드 확보 후 포션을 구매
4.포션 사용</t>
  </si>
  <si>
    <t>포션이 0개일때 사용 불가 표시, 구매 시 갯수 +1 및 골드 차감, 사용시 HP 회복</t>
  </si>
  <si>
    <t>SC - 003</t>
  </si>
  <si>
    <t>레벨업 주기</t>
  </si>
  <si>
    <t xml:space="preserve">성장 시스템 흐름 </t>
  </si>
  <si>
    <t>1.페이지 새로고침
2.연속으로 4번 전투 승리 
3.레벨/EXP/최대 HP 확인</t>
  </si>
  <si>
    <t>4번째 승리에서 레벨 업, 초과 EXP(20) 이월, 최대 HP+10</t>
  </si>
  <si>
    <t>4번째 전투에서 레벨 업, 초과 EXP(20) 이월되지 않고 소멸, 최대 HP+10</t>
  </si>
  <si>
    <t>SC - 004</t>
  </si>
  <si>
    <t>자원 한계 상황</t>
  </si>
  <si>
    <t>HP 및 MP 한계 흐름</t>
  </si>
  <si>
    <t>1.MP가 0이 될 때까지 스킬 사용
2.한번 더 사용 시도
3.HP/로그 확인</t>
  </si>
  <si>
    <t>MP부족 안내 표시, 이 때 슬라임이 공격 하지않음(턴 미소모)</t>
  </si>
  <si>
    <t>MP부족 안내 표시, 슬라임이 공격 하지않음(턴 미소모)</t>
  </si>
  <si>
    <t>SC - 005</t>
  </si>
  <si>
    <t>패배 후 복귀</t>
  </si>
  <si>
    <t xml:space="preserve">패배 처리 와 재시작 </t>
  </si>
  <si>
    <t xml:space="preserve">1.전투에서 패배 
2.패배 후 각 행동버튼 클릭
3.새 전투/재시작 버튼 클릭 </t>
  </si>
  <si>
    <t>패배 후 행동 불가 안내, 재시작 시 정상 초기 상태</t>
  </si>
  <si>
    <t>패배 표시 및 행동 불가 안내, 재시작 시 초기 상태로 돌아옴</t>
  </si>
  <si>
    <t>SC - 006</t>
  </si>
  <si>
    <t>전투 종료 후 연속 입력</t>
  </si>
  <si>
    <t>전투 종료 상태 처리</t>
  </si>
  <si>
    <t>1.전투에서 승리
2.각 행동버튼 연속 클릭
3.상태 및 로그 확인</t>
  </si>
  <si>
    <t>포션 구매 버튼 이외의 버튼클릭 시 전투 종료 안내 표시</t>
  </si>
  <si>
    <t>전투 종료 안내 표시, 포션 구매 버튼 작동(갯수 +1 , 골드 차감)</t>
  </si>
  <si>
    <t>ID</t>
  </si>
  <si>
    <t>확인 항목</t>
  </si>
  <si>
    <t>수정 전 결함/확인 포인트</t>
  </si>
  <si>
    <t>확인절차(수정본 v2)</t>
  </si>
  <si>
    <t>수정 확인</t>
  </si>
  <si>
    <t>스킬 피해량 표기 불일치</t>
  </si>
  <si>
    <t>표기 피해량 25 / 실제 피해량 20</t>
  </si>
  <si>
    <t>스킬 사용후 로그와 슬라임의 HP 감소량 확인</t>
  </si>
  <si>
    <t>로그의 피해량과 슬라임의 감소한 HP가 25로 확인</t>
  </si>
  <si>
    <t>스킬의 표기 피해량(25)과 로그에 표시된 피해량, 슬라임의 감소된 HP가 25로 동일</t>
  </si>
  <si>
    <t>BUG - 002,003</t>
  </si>
  <si>
    <t>방어 상태 지속</t>
  </si>
  <si>
    <t>방어 사용 이후 계속 받는 피해량 감소</t>
  </si>
  <si>
    <t>방어 후 다른 행동 반복, 새 전투에서도 확인</t>
  </si>
  <si>
    <t>방어를 사용한 턴에만 받는 피해가 감소, 새 전투에서 방어 상태가 지속되지 않음</t>
  </si>
  <si>
    <t>방어한 턴에만 받는 피해 감소, 새 전투에서 방어상태 초기화</t>
  </si>
  <si>
    <t>수정 필요</t>
  </si>
  <si>
    <t>포션이 최대 HP 초과</t>
  </si>
  <si>
    <t>HP가 최대치를 초과한 상태로 표시</t>
  </si>
  <si>
    <t>HP가 최대치일 때 포션 사용</t>
  </si>
  <si>
    <t>포션이 사용되지 않고 사용 불가 표시</t>
  </si>
  <si>
    <t>포션이 사용되지만 초과회복 되지않고 턴이 진행됌</t>
  </si>
  <si>
    <t>포션이 없지만 사용 됌</t>
  </si>
  <si>
    <t>포션 갯수가 0개이지만 사용 됌</t>
  </si>
  <si>
    <t>포션 갯수가 0개일때 사용</t>
  </si>
  <si>
    <t>포션이 사용되지않고 포션이 없습니다 표시</t>
  </si>
  <si>
    <t>포션이 사용되지않고 로그에 포션이 없다고 표시됌</t>
  </si>
  <si>
    <t>정확히 15G일때 포션 구매</t>
  </si>
  <si>
    <t>골드가 부족 표시, 포션 구매 안됌</t>
  </si>
  <si>
    <t>정확히 골드를 15G로 만든 후 포션 구매</t>
  </si>
  <si>
    <t>골드가 차감되고 포션 갯수 +1</t>
  </si>
  <si>
    <t>골드가 정상적으로 차감되고 포션 갯수 +1</t>
  </si>
  <si>
    <t>플레이어와 적의 HP 음수 표시</t>
  </si>
  <si>
    <t>남은 HP보다 높은 피해를 입었을때 HP가 음수 표시</t>
  </si>
  <si>
    <t>플레이어 및 슬라임의 남은 HP보다 큰 피해량으로 처치</t>
  </si>
  <si>
    <t>HP가 0이하로 내려 가지않고 승리 또는 패배 표시</t>
  </si>
  <si>
    <t>플레이어의 HP 음수 표시 되지않고 패배 표시, 슬라임 처치시 HP가 0이 되지않고 남아있던 HP로 표시 및 승리 표시</t>
  </si>
  <si>
    <t>레벨업 시 초과 EXP 이월</t>
  </si>
  <si>
    <t xml:space="preserve">초과한 EXP(20)가 이월 되지않음 </t>
  </si>
  <si>
    <t>4번의 전투 승리후 레벨업 시 EXP 확인</t>
  </si>
  <si>
    <t xml:space="preserve">레벨업 시 초과한 EXP(20)이 이월 </t>
  </si>
  <si>
    <t>레벨업 시 초과한 EXP(20)가 이월되어 20의 경험치가 남음</t>
  </si>
  <si>
    <t>=Countif('회귀 테스트'!H7:H15,"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</si>
</sst>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scheme val="minor"/>
    </font>
    <font>
      <sz val="11"/>
      <color theme="0"/>
      <name val="Calibri"/>
      <scheme val="minor"/>
    </font>
    <font>
      <b/>
      <sz val="11"/>
      <color theme="0"/>
      <name val="맑은 고딕"/>
      <family val="2"/>
      <scheme val="minor"/>
    </font>
    <font>
      <sz val="10"/>
      <color theme="1"/>
      <name val="Calibri"/>
      <scheme val="minor"/>
    </font>
    <font>
      <u/>
      <sz val="11"/>
      <color theme="1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theme="0"/>
      <name val="Calibri"/>
      <scheme val="minor"/>
    </font>
    <font>
      <b/>
      <sz val="20"/>
      <color rgb="FF000000"/>
      <name val="Calibri"/>
      <scheme val="minor"/>
    </font>
    <font>
      <b/>
      <sz val="14"/>
      <color rgb="FF000000"/>
      <name val="Calibri"/>
      <scheme val="minor"/>
    </font>
    <font>
      <sz val="14"/>
      <color theme="1"/>
      <name val="맑은 고딕"/>
      <family val="2"/>
      <scheme val="minor"/>
    </font>
    <font>
      <b/>
      <sz val="14"/>
      <color theme="1"/>
      <name val="Calibri Light"/>
      <scheme val="major"/>
    </font>
    <font>
      <b/>
      <sz val="14"/>
      <color rgb="FF000000"/>
      <name val="Calibri Light"/>
      <scheme val="major"/>
    </font>
    <font>
      <b/>
      <sz val="14"/>
      <color rgb="FFFFFFFF"/>
      <name val="Calibri"/>
      <scheme val="minor"/>
    </font>
    <font>
      <b/>
      <sz val="14"/>
      <color theme="0"/>
      <name val="Calibri"/>
      <scheme val="minor"/>
    </font>
    <font>
      <sz val="14"/>
      <color theme="1"/>
      <name val="Calibri"/>
      <scheme val="minor"/>
    </font>
    <font>
      <b/>
      <sz val="14"/>
      <color theme="1"/>
      <name val="Calibri"/>
      <scheme val="minor"/>
    </font>
    <font>
      <sz val="11"/>
      <color theme="1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65C1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0" borderId="0" xfId="1" applyAlignment="1"/>
    <xf numFmtId="0" fontId="6" fillId="3" borderId="0" xfId="0" applyFont="1" applyFill="1" applyAlignment="1">
      <alignment horizontal="center" vertical="center"/>
    </xf>
    <xf numFmtId="0" fontId="4" fillId="0" borderId="0" xfId="1" applyAlignment="1">
      <alignment horizont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/>
    <xf numFmtId="0" fontId="16" fillId="0" borderId="0" xfId="0" applyFont="1"/>
    <xf numFmtId="0" fontId="13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17" fillId="0" borderId="0" xfId="0" applyFont="1" applyAlignment="1">
      <alignment horizontal="center" vertical="center"/>
    </xf>
  </cellXfs>
  <cellStyles count="2">
    <cellStyle name="Hyperlink" xfId="1" xr:uid="{00000000-000B-0000-0000-000008000000}"/>
    <cellStyle name="표준" xfId="0" builtinId="0"/>
  </cellStyles>
  <dxfs count="0"/>
  <tableStyles count="0" defaultTableStyle="TableStyleMedium2" defaultPivotStyle="PivotStyleMedium9"/>
  <colors>
    <mruColors>
      <color rgb="FF065C15"/>
      <color rgb="FF106B21"/>
      <color rgb="FF158C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3580;&#49828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테스트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igpenguinman.github.io/QA_Ga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AA351-BB3E-41A3-B83D-6202C6796A83}">
  <dimension ref="B3:I26"/>
  <sheetViews>
    <sheetView tabSelected="1" topLeftCell="A4" workbookViewId="0">
      <selection activeCell="G9" sqref="G9"/>
    </sheetView>
  </sheetViews>
  <sheetFormatPr defaultRowHeight="16.5"/>
  <cols>
    <col min="2" max="2" width="31.5" bestFit="1" customWidth="1"/>
    <col min="3" max="3" width="10.625" customWidth="1"/>
    <col min="8" max="8" width="17.625" customWidth="1"/>
  </cols>
  <sheetData>
    <row r="3" spans="2:7" ht="26.25">
      <c r="B3" s="16" t="s">
        <v>0</v>
      </c>
    </row>
    <row r="6" spans="2:7" ht="20.25">
      <c r="B6" s="19" t="s">
        <v>1</v>
      </c>
      <c r="D6" s="17" t="s">
        <v>2</v>
      </c>
    </row>
    <row r="7" spans="2:7" ht="20.25">
      <c r="B7" s="18" t="s">
        <v>3</v>
      </c>
      <c r="D7" s="17" t="s">
        <v>4</v>
      </c>
    </row>
    <row r="8" spans="2:7" ht="20.25">
      <c r="B8" s="18" t="s">
        <v>5</v>
      </c>
      <c r="D8" s="17" t="s">
        <v>6</v>
      </c>
    </row>
    <row r="12" spans="2:7" ht="18.75">
      <c r="B12" s="22" t="s">
        <v>7</v>
      </c>
      <c r="C12" s="22" t="s">
        <v>8</v>
      </c>
      <c r="D12" s="22" t="s">
        <v>9</v>
      </c>
      <c r="E12" s="22" t="s">
        <v>10</v>
      </c>
      <c r="F12" s="22" t="s">
        <v>11</v>
      </c>
      <c r="G12" s="22" t="s">
        <v>12</v>
      </c>
    </row>
    <row r="13" spans="2:7" ht="18.75">
      <c r="B13" s="23" t="s">
        <v>13</v>
      </c>
      <c r="C13" s="23">
        <f>COUNTA(테스트케이스!A6:A20)</f>
        <v>15</v>
      </c>
      <c r="D13" s="23">
        <f>COUNTIF(테스트케이스!H6:H25,"Pass")</f>
        <v>5</v>
      </c>
      <c r="E13" s="23">
        <f>COUNTIF(테스트케이스!H6:H25,"Fail")</f>
        <v>10</v>
      </c>
      <c r="F13" s="23">
        <f>C13-D13-E13</f>
        <v>0</v>
      </c>
      <c r="G13" s="24">
        <f>D13/C13</f>
        <v>0.33333333333333331</v>
      </c>
    </row>
    <row r="14" spans="2:7" ht="18.75">
      <c r="B14" s="23" t="s">
        <v>14</v>
      </c>
      <c r="C14" s="23">
        <f>COUNTA('시나리오 테스트'!A7:A15)</f>
        <v>6</v>
      </c>
      <c r="D14" s="23">
        <f>COUNTIF('시나리오 테스트'!G7:G15,"Pass")</f>
        <v>6</v>
      </c>
      <c r="E14" s="23">
        <f>COUNTIF('시나리오 테스트'!G7:G15,"Fail")</f>
        <v>0</v>
      </c>
      <c r="F14" s="23">
        <f>C14-D14-E14</f>
        <v>0</v>
      </c>
      <c r="G14" s="24">
        <f>D14/C14</f>
        <v>1</v>
      </c>
    </row>
    <row r="15" spans="2:7" ht="18.75">
      <c r="B15" s="23" t="s">
        <v>15</v>
      </c>
      <c r="C15" s="23">
        <f>COUNTA('회귀 테스트'!A7:A15)</f>
        <v>7</v>
      </c>
      <c r="D15" s="23">
        <f>COUNTIF('회귀 테스트'!H7:H15,"Pass")</f>
        <v>5</v>
      </c>
      <c r="E15" s="23">
        <f>COUNTIF('회귀 테스트'!H7:H15,"Fail")</f>
        <v>2</v>
      </c>
      <c r="F15" s="23">
        <f>C15-D15-E15</f>
        <v>0</v>
      </c>
      <c r="G15" s="24">
        <f>D15/C15</f>
        <v>0.7142857142857143</v>
      </c>
    </row>
    <row r="16" spans="2:7" ht="18.75">
      <c r="B16" s="25" t="s">
        <v>16</v>
      </c>
      <c r="C16" s="23">
        <f>SUM(C13:C15)</f>
        <v>28</v>
      </c>
      <c r="D16" s="23">
        <f>SUM(D13:D15)</f>
        <v>16</v>
      </c>
      <c r="E16" s="23">
        <f>SUM(E13:E15)</f>
        <v>12</v>
      </c>
      <c r="F16" s="23">
        <f>SUM(F13:F15)</f>
        <v>0</v>
      </c>
      <c r="G16" s="24">
        <f>D16/C16</f>
        <v>0.5714285714285714</v>
      </c>
    </row>
    <row r="17" spans="2:9" ht="18.75">
      <c r="B17" s="26"/>
      <c r="C17" s="26"/>
      <c r="D17" s="26"/>
      <c r="E17" s="26"/>
      <c r="F17" s="26"/>
      <c r="G17" s="26"/>
    </row>
    <row r="18" spans="2:9">
      <c r="B18" s="27"/>
      <c r="C18" s="27"/>
      <c r="D18" s="27"/>
      <c r="E18" s="27"/>
      <c r="F18" s="27"/>
      <c r="G18" s="27"/>
    </row>
    <row r="19" spans="2:9">
      <c r="B19" s="27"/>
      <c r="C19" s="27"/>
      <c r="D19" s="27"/>
      <c r="E19" s="27"/>
      <c r="F19" s="27"/>
      <c r="G19" s="27"/>
    </row>
    <row r="20" spans="2:9" ht="18.75">
      <c r="B20" s="28" t="s">
        <v>17</v>
      </c>
      <c r="C20" s="21" t="s">
        <v>18</v>
      </c>
      <c r="D20" s="27"/>
      <c r="E20" s="27"/>
      <c r="F20" s="27"/>
      <c r="G20" s="27"/>
      <c r="H20" s="30" t="s">
        <v>19</v>
      </c>
      <c r="I20" s="30" t="s">
        <v>18</v>
      </c>
    </row>
    <row r="21" spans="2:9" ht="20.25">
      <c r="B21" s="20" t="s">
        <v>20</v>
      </c>
      <c r="C21" s="31">
        <f>COUNTIF(버그리포트!D2:D13,"치명")</f>
        <v>0</v>
      </c>
      <c r="H21" s="23" t="s">
        <v>21</v>
      </c>
      <c r="I21" s="31">
        <f>COUNTIF(버그리포트!L2:L13,"신규")</f>
        <v>2</v>
      </c>
    </row>
    <row r="22" spans="2:9" ht="20.25">
      <c r="B22" s="20" t="s">
        <v>22</v>
      </c>
      <c r="C22" s="31">
        <f>COUNTIF(버그리포트!D2:D13,"높음")</f>
        <v>3</v>
      </c>
      <c r="H22" s="23" t="s">
        <v>23</v>
      </c>
      <c r="I22" s="31">
        <f>COUNTIF(버그리포트!L2:L13,"수정")</f>
        <v>0</v>
      </c>
    </row>
    <row r="23" spans="2:9" ht="20.25">
      <c r="B23" s="20" t="s">
        <v>24</v>
      </c>
      <c r="C23" s="31">
        <f>COUNTIF(버그리포트!D2:D13,"보통")</f>
        <v>5</v>
      </c>
      <c r="H23" s="23" t="s">
        <v>25</v>
      </c>
      <c r="I23" s="31">
        <f>COUNTIF(버그리포트!L2:L13,"확인")</f>
        <v>0</v>
      </c>
    </row>
    <row r="24" spans="2:9" ht="20.25">
      <c r="B24" s="20" t="s">
        <v>26</v>
      </c>
      <c r="C24" s="31">
        <f>COUNTIF(버그리포트!D2:D13,"낮음")</f>
        <v>1</v>
      </c>
      <c r="H24" s="23" t="s">
        <v>27</v>
      </c>
      <c r="I24" s="31">
        <f>COUNTIF(버그리포트!L2:L13,"재검증")</f>
        <v>0</v>
      </c>
    </row>
    <row r="25" spans="2:9" ht="18.75">
      <c r="B25" s="29" t="s">
        <v>16</v>
      </c>
      <c r="C25" s="31">
        <f>SUM(C21:C24)</f>
        <v>9</v>
      </c>
      <c r="H25" s="23" t="s">
        <v>28</v>
      </c>
      <c r="I25" s="31">
        <f>COUNTIF(버그리포트!L2:L13,"종료")</f>
        <v>0</v>
      </c>
    </row>
    <row r="26" spans="2:9">
      <c r="B26" s="1"/>
      <c r="C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workbookViewId="0">
      <selection activeCell="E4" sqref="E4"/>
    </sheetView>
  </sheetViews>
  <sheetFormatPr defaultRowHeight="16.5"/>
  <cols>
    <col min="1" max="1" width="9" bestFit="1" customWidth="1"/>
    <col min="2" max="2" width="9.75" bestFit="1" customWidth="1"/>
    <col min="3" max="3" width="27.5" bestFit="1" customWidth="1"/>
    <col min="4" max="4" width="30" style="1" bestFit="1" customWidth="1"/>
    <col min="5" max="5" width="50.25" style="1" bestFit="1" customWidth="1"/>
    <col min="6" max="6" width="52" style="1" bestFit="1" customWidth="1"/>
    <col min="7" max="7" width="44.625" style="1" bestFit="1" customWidth="1"/>
    <col min="8" max="8" width="6.5" style="1" customWidth="1"/>
    <col min="9" max="9" width="10.5" style="1" bestFit="1" customWidth="1"/>
    <col min="10" max="10" width="37.375" style="1" customWidth="1"/>
    <col min="11" max="11" width="9" style="1"/>
    <col min="12" max="12" width="21.375" style="1" customWidth="1"/>
    <col min="13" max="13" width="14.875" style="1" customWidth="1"/>
  </cols>
  <sheetData>
    <row r="1" spans="1:13">
      <c r="A1" s="13" t="s">
        <v>29</v>
      </c>
      <c r="B1" s="13"/>
      <c r="C1" s="13"/>
      <c r="D1" s="14" t="s">
        <v>30</v>
      </c>
      <c r="E1" s="14"/>
    </row>
    <row r="2" spans="1:13">
      <c r="A2" s="15"/>
      <c r="B2" s="15"/>
      <c r="C2" s="15"/>
    </row>
    <row r="3" spans="1:13">
      <c r="A3" s="1" t="s">
        <v>8</v>
      </c>
      <c r="B3" s="1" t="s">
        <v>9</v>
      </c>
      <c r="C3" s="1" t="s">
        <v>10</v>
      </c>
      <c r="D3" s="1" t="s">
        <v>31</v>
      </c>
      <c r="E3" s="1" t="s">
        <v>32</v>
      </c>
    </row>
    <row r="4" spans="1:13">
      <c r="A4" s="1">
        <f>COUNTA(A6:A20)</f>
        <v>15</v>
      </c>
      <c r="B4" s="1">
        <f>COUNTIF(H6:H20,"Pass")</f>
        <v>5</v>
      </c>
      <c r="C4" s="1">
        <f>COUNTIF(H6:H24,"Fail")</f>
        <v>10</v>
      </c>
      <c r="D4" s="1">
        <f>A4-B4-C4</f>
        <v>0</v>
      </c>
      <c r="E4" s="2">
        <f>B4/A4</f>
        <v>0.33333333333333331</v>
      </c>
    </row>
    <row r="5" spans="1:13">
      <c r="A5" s="12" t="s">
        <v>33</v>
      </c>
      <c r="B5" s="12" t="s">
        <v>34</v>
      </c>
      <c r="C5" s="12" t="s">
        <v>35</v>
      </c>
      <c r="D5" s="12" t="s">
        <v>36</v>
      </c>
      <c r="E5" s="12" t="s">
        <v>37</v>
      </c>
      <c r="F5" s="12" t="s">
        <v>38</v>
      </c>
      <c r="G5" s="12" t="s">
        <v>39</v>
      </c>
      <c r="H5" s="12" t="s">
        <v>40</v>
      </c>
      <c r="I5" s="12" t="s">
        <v>41</v>
      </c>
    </row>
    <row r="6" spans="1:13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47</v>
      </c>
      <c r="G6" s="1" t="s">
        <v>48</v>
      </c>
      <c r="H6" s="1" t="s">
        <v>9</v>
      </c>
    </row>
    <row r="7" spans="1:13">
      <c r="A7" s="1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10</v>
      </c>
      <c r="I7" s="1" t="s">
        <v>56</v>
      </c>
    </row>
    <row r="8" spans="1:13">
      <c r="A8" s="1" t="s">
        <v>57</v>
      </c>
      <c r="B8" s="1" t="s">
        <v>50</v>
      </c>
      <c r="C8" s="1" t="s">
        <v>58</v>
      </c>
      <c r="D8" s="1" t="s">
        <v>45</v>
      </c>
      <c r="E8" s="1" t="s">
        <v>59</v>
      </c>
      <c r="F8" s="1" t="s">
        <v>60</v>
      </c>
      <c r="G8" s="1" t="s">
        <v>61</v>
      </c>
      <c r="H8" s="1" t="s">
        <v>9</v>
      </c>
      <c r="M8" s="3"/>
    </row>
    <row r="9" spans="1:13">
      <c r="A9" s="1" t="s">
        <v>62</v>
      </c>
      <c r="B9" s="1" t="s">
        <v>63</v>
      </c>
      <c r="C9" s="1" t="s">
        <v>64</v>
      </c>
      <c r="D9" s="1" t="s">
        <v>45</v>
      </c>
      <c r="E9" s="1" t="s">
        <v>65</v>
      </c>
      <c r="F9" s="1" t="s">
        <v>66</v>
      </c>
      <c r="G9" s="1" t="s">
        <v>67</v>
      </c>
      <c r="H9" s="1" t="s">
        <v>10</v>
      </c>
      <c r="I9" s="1" t="s">
        <v>68</v>
      </c>
    </row>
    <row r="10" spans="1:13">
      <c r="A10" s="1" t="s">
        <v>69</v>
      </c>
      <c r="B10" s="1" t="s">
        <v>63</v>
      </c>
      <c r="C10" s="1" t="s">
        <v>70</v>
      </c>
      <c r="D10" s="1" t="s">
        <v>71</v>
      </c>
      <c r="E10" s="1" t="s">
        <v>72</v>
      </c>
      <c r="F10" s="1" t="s">
        <v>73</v>
      </c>
      <c r="G10" s="1" t="s">
        <v>74</v>
      </c>
      <c r="H10" s="1" t="s">
        <v>10</v>
      </c>
      <c r="I10" s="1" t="s">
        <v>75</v>
      </c>
    </row>
    <row r="11" spans="1:13">
      <c r="A11" s="1" t="s">
        <v>76</v>
      </c>
      <c r="B11" s="1" t="s">
        <v>77</v>
      </c>
      <c r="C11" s="1" t="s">
        <v>78</v>
      </c>
      <c r="D11" s="1" t="s">
        <v>79</v>
      </c>
      <c r="E11" s="1" t="s">
        <v>80</v>
      </c>
      <c r="F11" s="1" t="s">
        <v>81</v>
      </c>
      <c r="G11" s="1" t="s">
        <v>82</v>
      </c>
      <c r="H11" s="1" t="s">
        <v>10</v>
      </c>
      <c r="I11" s="1" t="s">
        <v>83</v>
      </c>
    </row>
    <row r="12" spans="1:13">
      <c r="A12" s="1" t="s">
        <v>84</v>
      </c>
      <c r="B12" s="1" t="s">
        <v>77</v>
      </c>
      <c r="C12" s="1" t="s">
        <v>85</v>
      </c>
      <c r="D12" s="1" t="s">
        <v>86</v>
      </c>
      <c r="E12" s="1" t="s">
        <v>87</v>
      </c>
      <c r="F12" s="1" t="s">
        <v>88</v>
      </c>
      <c r="G12" s="1" t="s">
        <v>89</v>
      </c>
      <c r="H12" s="1" t="s">
        <v>10</v>
      </c>
      <c r="I12" s="1" t="s">
        <v>90</v>
      </c>
    </row>
    <row r="13" spans="1:13">
      <c r="A13" s="1" t="s">
        <v>91</v>
      </c>
      <c r="B13" s="1" t="s">
        <v>92</v>
      </c>
      <c r="C13" s="1" t="s">
        <v>93</v>
      </c>
      <c r="D13" s="1" t="s">
        <v>94</v>
      </c>
      <c r="E13" s="1" t="s">
        <v>95</v>
      </c>
      <c r="F13" s="1" t="s">
        <v>96</v>
      </c>
      <c r="G13" s="1" t="s">
        <v>97</v>
      </c>
      <c r="H13" s="1" t="s">
        <v>10</v>
      </c>
      <c r="I13" s="1" t="s">
        <v>98</v>
      </c>
    </row>
    <row r="14" spans="1:13">
      <c r="A14" s="1" t="s">
        <v>99</v>
      </c>
      <c r="B14" s="1" t="s">
        <v>92</v>
      </c>
      <c r="C14" s="1" t="s">
        <v>100</v>
      </c>
      <c r="D14" s="1" t="s">
        <v>101</v>
      </c>
      <c r="E14" s="1" t="s">
        <v>95</v>
      </c>
      <c r="F14" s="1" t="s">
        <v>102</v>
      </c>
      <c r="G14" s="1" t="s">
        <v>103</v>
      </c>
      <c r="H14" s="1" t="s">
        <v>9</v>
      </c>
    </row>
    <row r="15" spans="1:13">
      <c r="A15" s="1" t="s">
        <v>104</v>
      </c>
      <c r="B15" s="1" t="s">
        <v>105</v>
      </c>
      <c r="C15" s="1" t="s">
        <v>106</v>
      </c>
      <c r="D15" s="1" t="s">
        <v>107</v>
      </c>
      <c r="E15" s="1" t="s">
        <v>108</v>
      </c>
      <c r="F15" s="1" t="s">
        <v>109</v>
      </c>
      <c r="G15" s="1" t="s">
        <v>110</v>
      </c>
      <c r="H15" s="1" t="s">
        <v>10</v>
      </c>
      <c r="I15" s="1" t="s">
        <v>111</v>
      </c>
    </row>
    <row r="16" spans="1:13">
      <c r="A16" s="1" t="s">
        <v>112</v>
      </c>
      <c r="B16" s="1" t="s">
        <v>105</v>
      </c>
      <c r="C16" s="1" t="s">
        <v>113</v>
      </c>
      <c r="D16" s="1" t="s">
        <v>114</v>
      </c>
      <c r="E16" s="1" t="s">
        <v>115</v>
      </c>
      <c r="F16" s="1" t="s">
        <v>116</v>
      </c>
      <c r="G16" s="1" t="s">
        <v>117</v>
      </c>
      <c r="H16" s="1" t="s">
        <v>10</v>
      </c>
      <c r="I16" s="1" t="s">
        <v>118</v>
      </c>
    </row>
    <row r="17" spans="1:9">
      <c r="A17" s="1" t="s">
        <v>119</v>
      </c>
      <c r="B17" s="1" t="s">
        <v>105</v>
      </c>
      <c r="C17" s="1" t="s">
        <v>120</v>
      </c>
      <c r="D17" s="1" t="s">
        <v>121</v>
      </c>
      <c r="E17" s="1" t="s">
        <v>122</v>
      </c>
      <c r="F17" s="1" t="s">
        <v>123</v>
      </c>
      <c r="G17" s="1" t="s">
        <v>124</v>
      </c>
      <c r="H17" s="1" t="s">
        <v>10</v>
      </c>
      <c r="I17" s="1" t="s">
        <v>118</v>
      </c>
    </row>
    <row r="18" spans="1:9">
      <c r="A18" s="1" t="s">
        <v>125</v>
      </c>
      <c r="B18" s="1" t="s">
        <v>126</v>
      </c>
      <c r="C18" s="1" t="s">
        <v>127</v>
      </c>
      <c r="D18" s="1" t="s">
        <v>128</v>
      </c>
      <c r="E18" s="1" t="s">
        <v>129</v>
      </c>
      <c r="F18" s="1" t="s">
        <v>130</v>
      </c>
      <c r="G18" s="1" t="s">
        <v>131</v>
      </c>
      <c r="H18" s="1" t="s">
        <v>10</v>
      </c>
      <c r="I18" s="1" t="s">
        <v>132</v>
      </c>
    </row>
    <row r="19" spans="1:9">
      <c r="A19" s="1" t="s">
        <v>133</v>
      </c>
      <c r="B19" s="1" t="s">
        <v>134</v>
      </c>
      <c r="C19" s="1" t="s">
        <v>135</v>
      </c>
      <c r="D19" s="1" t="s">
        <v>136</v>
      </c>
      <c r="E19" s="1" t="s">
        <v>137</v>
      </c>
      <c r="F19" s="1" t="s">
        <v>138</v>
      </c>
      <c r="G19" s="1" t="s">
        <v>139</v>
      </c>
      <c r="H19" s="1" t="s">
        <v>9</v>
      </c>
    </row>
    <row r="20" spans="1:9">
      <c r="A20" s="1" t="s">
        <v>140</v>
      </c>
      <c r="B20" s="1" t="s">
        <v>105</v>
      </c>
      <c r="C20" s="1" t="s">
        <v>141</v>
      </c>
      <c r="D20" s="1" t="s">
        <v>142</v>
      </c>
      <c r="E20" s="1" t="s">
        <v>143</v>
      </c>
      <c r="F20" s="1" t="s">
        <v>144</v>
      </c>
      <c r="G20" s="1" t="s">
        <v>144</v>
      </c>
      <c r="H20" s="1" t="s">
        <v>9</v>
      </c>
    </row>
    <row r="26" spans="1:9">
      <c r="A26" s="11"/>
      <c r="B26" s="11"/>
      <c r="C26" s="11"/>
      <c r="D26" s="11"/>
    </row>
    <row r="27" spans="1:9">
      <c r="A27" s="9"/>
      <c r="B27" s="9"/>
      <c r="C27" s="9"/>
      <c r="D27" s="10"/>
    </row>
    <row r="28" spans="1:9">
      <c r="A28" s="11"/>
      <c r="B28" s="11"/>
      <c r="C28" s="11"/>
    </row>
  </sheetData>
  <mergeCells count="3">
    <mergeCell ref="A1:C1"/>
    <mergeCell ref="D1:E1"/>
    <mergeCell ref="A2:C2"/>
  </mergeCells>
  <dataValidations count="1">
    <dataValidation type="list" allowBlank="1" showInputMessage="1" showErrorMessage="1" sqref="K1:K5 K24:K1048576 H3:H20" xr:uid="{BC6F9E5D-BDB6-463D-9008-E5A4DAB0A977}">
      <formula1>"Pass,Fail"</formula1>
    </dataValidation>
  </dataValidations>
  <hyperlinks>
    <hyperlink ref="A1:C1" r:id="rId1" display="https://pigpenguinman.github.io/QA_Game/" xr:uid="{94FC7D9B-211C-4839-9C77-9DD264A9BB1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196B-A292-4CCF-9353-043924850907}">
  <dimension ref="A1:L26"/>
  <sheetViews>
    <sheetView topLeftCell="H1" workbookViewId="0">
      <selection activeCell="L4" sqref="L4"/>
    </sheetView>
  </sheetViews>
  <sheetFormatPr defaultRowHeight="16.5"/>
  <cols>
    <col min="1" max="1" width="10.5" bestFit="1" customWidth="1"/>
    <col min="2" max="2" width="36.5" bestFit="1" customWidth="1"/>
    <col min="3" max="3" width="22.25" bestFit="1" customWidth="1"/>
    <col min="4" max="4" width="7.5" bestFit="1" customWidth="1"/>
    <col min="5" max="5" width="10" bestFit="1" customWidth="1"/>
    <col min="6" max="6" width="7.5" bestFit="1" customWidth="1"/>
    <col min="7" max="7" width="43.625" bestFit="1" customWidth="1"/>
    <col min="8" max="8" width="42.625" bestFit="1" customWidth="1"/>
    <col min="9" max="9" width="59.25" bestFit="1" customWidth="1"/>
    <col min="10" max="10" width="54.125" bestFit="1" customWidth="1"/>
  </cols>
  <sheetData>
    <row r="1" spans="1:12" s="1" customFormat="1" ht="33">
      <c r="A1" s="4" t="s">
        <v>145</v>
      </c>
      <c r="B1" s="4" t="s">
        <v>146</v>
      </c>
      <c r="C1" s="5" t="s">
        <v>147</v>
      </c>
      <c r="D1" s="4" t="s">
        <v>148</v>
      </c>
      <c r="E1" s="4" t="s">
        <v>149</v>
      </c>
      <c r="F1" s="4" t="s">
        <v>150</v>
      </c>
      <c r="G1" s="4" t="s">
        <v>151</v>
      </c>
      <c r="H1" s="4" t="s">
        <v>152</v>
      </c>
      <c r="I1" s="4" t="s">
        <v>153</v>
      </c>
      <c r="J1" s="4" t="s">
        <v>154</v>
      </c>
      <c r="K1" s="4" t="s">
        <v>155</v>
      </c>
      <c r="L1" s="4" t="s">
        <v>156</v>
      </c>
    </row>
    <row r="2" spans="1:12" ht="30">
      <c r="A2" s="6" t="s">
        <v>56</v>
      </c>
      <c r="B2" s="6" t="s">
        <v>157</v>
      </c>
      <c r="C2" s="6" t="s">
        <v>158</v>
      </c>
      <c r="D2" s="6" t="s">
        <v>22</v>
      </c>
      <c r="E2" s="6" t="s">
        <v>22</v>
      </c>
      <c r="F2" s="7" t="s">
        <v>159</v>
      </c>
      <c r="G2" s="6" t="s">
        <v>52</v>
      </c>
      <c r="H2" s="8" t="s">
        <v>160</v>
      </c>
      <c r="I2" s="6" t="s">
        <v>161</v>
      </c>
      <c r="J2" s="6" t="s">
        <v>162</v>
      </c>
      <c r="K2" s="6"/>
      <c r="L2" s="6" t="s">
        <v>21</v>
      </c>
    </row>
    <row r="3" spans="1:12" ht="30">
      <c r="A3" s="6" t="s">
        <v>68</v>
      </c>
      <c r="B3" s="6" t="s">
        <v>163</v>
      </c>
      <c r="C3" s="6"/>
      <c r="D3" s="6" t="s">
        <v>22</v>
      </c>
      <c r="E3" s="6" t="s">
        <v>22</v>
      </c>
      <c r="F3" s="7" t="s">
        <v>159</v>
      </c>
      <c r="G3" s="6" t="s">
        <v>45</v>
      </c>
      <c r="H3" s="8" t="s">
        <v>164</v>
      </c>
      <c r="I3" s="6" t="s">
        <v>165</v>
      </c>
      <c r="J3" s="6" t="s">
        <v>166</v>
      </c>
      <c r="K3" s="6"/>
      <c r="L3" s="6" t="s">
        <v>21</v>
      </c>
    </row>
    <row r="4" spans="1:12" ht="59.25">
      <c r="A4" s="6" t="s">
        <v>75</v>
      </c>
      <c r="B4" s="6" t="s">
        <v>167</v>
      </c>
      <c r="C4" s="6"/>
      <c r="D4" s="6" t="s">
        <v>24</v>
      </c>
      <c r="E4" s="6" t="s">
        <v>24</v>
      </c>
      <c r="F4" s="7" t="s">
        <v>159</v>
      </c>
      <c r="G4" s="6" t="s">
        <v>168</v>
      </c>
      <c r="H4" s="8" t="s">
        <v>169</v>
      </c>
      <c r="I4" s="6" t="s">
        <v>170</v>
      </c>
      <c r="J4" s="8" t="s">
        <v>171</v>
      </c>
      <c r="K4" s="6"/>
      <c r="L4" s="6"/>
    </row>
    <row r="5" spans="1:12">
      <c r="A5" s="6" t="s">
        <v>83</v>
      </c>
      <c r="B5" s="6" t="s">
        <v>172</v>
      </c>
      <c r="C5" s="6"/>
      <c r="D5" s="6" t="s">
        <v>24</v>
      </c>
      <c r="E5" s="6" t="s">
        <v>22</v>
      </c>
      <c r="F5" s="7" t="s">
        <v>159</v>
      </c>
      <c r="G5" s="6" t="s">
        <v>79</v>
      </c>
      <c r="H5" s="6" t="s">
        <v>173</v>
      </c>
      <c r="I5" s="6" t="s">
        <v>174</v>
      </c>
      <c r="J5" s="6" t="s">
        <v>175</v>
      </c>
      <c r="K5" s="6"/>
      <c r="L5" s="6"/>
    </row>
    <row r="6" spans="1:12">
      <c r="A6" s="6" t="s">
        <v>90</v>
      </c>
      <c r="B6" s="6" t="s">
        <v>176</v>
      </c>
      <c r="C6" s="6"/>
      <c r="D6" s="6" t="s">
        <v>22</v>
      </c>
      <c r="E6" s="6" t="s">
        <v>22</v>
      </c>
      <c r="F6" s="7" t="s">
        <v>159</v>
      </c>
      <c r="G6" s="6" t="s">
        <v>86</v>
      </c>
      <c r="H6" s="6" t="s">
        <v>177</v>
      </c>
      <c r="I6" s="6" t="s">
        <v>178</v>
      </c>
      <c r="J6" s="6" t="s">
        <v>179</v>
      </c>
      <c r="K6" s="6"/>
      <c r="L6" s="6"/>
    </row>
    <row r="7" spans="1:12">
      <c r="A7" s="6" t="s">
        <v>98</v>
      </c>
      <c r="B7" s="6" t="s">
        <v>180</v>
      </c>
      <c r="C7" s="6"/>
      <c r="D7" s="6" t="s">
        <v>24</v>
      </c>
      <c r="E7" s="6" t="s">
        <v>24</v>
      </c>
      <c r="F7" s="7" t="s">
        <v>159</v>
      </c>
      <c r="G7" s="6" t="s">
        <v>181</v>
      </c>
      <c r="H7" s="6" t="s">
        <v>182</v>
      </c>
      <c r="I7" s="6" t="s">
        <v>183</v>
      </c>
      <c r="J7" s="6" t="s">
        <v>184</v>
      </c>
      <c r="K7" s="6"/>
      <c r="L7" s="6"/>
    </row>
    <row r="8" spans="1:12" ht="30">
      <c r="A8" s="6" t="s">
        <v>118</v>
      </c>
      <c r="B8" s="6" t="s">
        <v>185</v>
      </c>
      <c r="C8" s="6"/>
      <c r="D8" s="6" t="s">
        <v>26</v>
      </c>
      <c r="E8" s="6" t="s">
        <v>26</v>
      </c>
      <c r="F8" s="7" t="s">
        <v>159</v>
      </c>
      <c r="G8" s="6" t="s">
        <v>186</v>
      </c>
      <c r="H8" s="8" t="s">
        <v>187</v>
      </c>
      <c r="I8" s="6" t="s">
        <v>188</v>
      </c>
      <c r="J8" s="6" t="s">
        <v>189</v>
      </c>
      <c r="K8" s="6"/>
      <c r="L8" s="6"/>
    </row>
    <row r="9" spans="1:12" ht="30">
      <c r="A9" s="6" t="s">
        <v>132</v>
      </c>
      <c r="B9" s="6" t="s">
        <v>190</v>
      </c>
      <c r="C9" s="6"/>
      <c r="D9" s="6" t="s">
        <v>24</v>
      </c>
      <c r="E9" s="6" t="s">
        <v>22</v>
      </c>
      <c r="F9" s="7" t="s">
        <v>159</v>
      </c>
      <c r="G9" s="6" t="s">
        <v>191</v>
      </c>
      <c r="H9" s="8" t="s">
        <v>192</v>
      </c>
      <c r="I9" s="6" t="s">
        <v>193</v>
      </c>
      <c r="J9" s="6" t="s">
        <v>194</v>
      </c>
      <c r="K9" s="6"/>
      <c r="L9" s="6"/>
    </row>
    <row r="10" spans="1:12">
      <c r="A10" s="6"/>
      <c r="B10" s="6"/>
      <c r="C10" s="6"/>
      <c r="D10" s="6"/>
      <c r="E10" s="6"/>
      <c r="F10" s="7"/>
      <c r="G10" s="6"/>
      <c r="H10" s="6"/>
      <c r="I10" s="6"/>
      <c r="J10" s="6"/>
      <c r="K10" s="6"/>
      <c r="L10" s="6"/>
    </row>
    <row r="11" spans="1:12">
      <c r="A11" s="6"/>
      <c r="B11" s="6"/>
      <c r="C11" s="6"/>
      <c r="D11" s="6"/>
      <c r="E11" s="6"/>
      <c r="F11" s="7"/>
      <c r="G11" s="6"/>
      <c r="H11" s="6"/>
      <c r="I11" s="6"/>
      <c r="J11" s="6"/>
      <c r="K11" s="6"/>
      <c r="L11" s="6"/>
    </row>
    <row r="12" spans="1:12" ht="27.75" customHeight="1">
      <c r="A12" s="6" t="s">
        <v>195</v>
      </c>
      <c r="B12" s="6" t="s">
        <v>196</v>
      </c>
      <c r="C12" s="6"/>
      <c r="D12" s="6" t="s">
        <v>24</v>
      </c>
      <c r="E12" s="6" t="s">
        <v>24</v>
      </c>
      <c r="F12" s="7" t="s">
        <v>159</v>
      </c>
      <c r="G12" s="6" t="s">
        <v>197</v>
      </c>
      <c r="H12" s="6" t="s">
        <v>198</v>
      </c>
      <c r="I12" s="8" t="s">
        <v>199</v>
      </c>
      <c r="J12" s="6" t="s">
        <v>200</v>
      </c>
      <c r="K12" s="6"/>
      <c r="L12" s="6"/>
    </row>
    <row r="13" spans="1:12">
      <c r="A13" s="6"/>
      <c r="B13" s="6"/>
      <c r="C13" s="6"/>
      <c r="D13" s="6"/>
      <c r="E13" s="6"/>
      <c r="F13" s="7"/>
      <c r="G13" s="6"/>
      <c r="H13" s="6"/>
      <c r="I13" s="6"/>
      <c r="J13" s="6"/>
      <c r="K13" s="6"/>
      <c r="L13" s="6"/>
    </row>
    <row r="14" spans="1:12">
      <c r="A14" s="6"/>
      <c r="B14" s="6"/>
      <c r="C14" s="6"/>
      <c r="D14" s="6"/>
      <c r="E14" s="6"/>
      <c r="F14" s="7"/>
      <c r="G14" s="6"/>
      <c r="H14" s="6"/>
      <c r="I14" s="6"/>
      <c r="J14" s="6"/>
      <c r="K14" s="6"/>
      <c r="L14" s="6"/>
    </row>
    <row r="15" spans="1:12">
      <c r="A15" s="6"/>
      <c r="B15" s="6"/>
      <c r="C15" s="6"/>
      <c r="D15" s="6"/>
      <c r="E15" s="6"/>
      <c r="F15" s="7"/>
      <c r="G15" s="6"/>
      <c r="H15" s="6"/>
      <c r="I15" s="6"/>
      <c r="J15" s="6"/>
      <c r="K15" s="6"/>
      <c r="L15" s="6"/>
    </row>
    <row r="16" spans="1:12">
      <c r="A16" s="6"/>
      <c r="B16" s="6"/>
      <c r="C16" s="8"/>
      <c r="D16" s="6"/>
      <c r="E16" s="6"/>
      <c r="F16" s="7"/>
      <c r="G16" s="6"/>
      <c r="H16" s="6"/>
      <c r="I16" s="6"/>
      <c r="J16" s="6"/>
      <c r="K16" s="6"/>
      <c r="L16" s="6"/>
    </row>
    <row r="17" spans="1:12">
      <c r="A17" s="6"/>
      <c r="B17" s="6"/>
      <c r="C17" s="6"/>
      <c r="D17" s="6"/>
      <c r="E17" s="6"/>
      <c r="F17" s="7"/>
      <c r="G17" s="6"/>
      <c r="H17" s="6"/>
      <c r="I17" s="6"/>
      <c r="J17" s="6"/>
      <c r="K17" s="6"/>
      <c r="L17" s="6"/>
    </row>
    <row r="18" spans="1:12">
      <c r="A18" s="6"/>
      <c r="B18" s="6"/>
      <c r="C18" s="6"/>
      <c r="D18" s="6"/>
      <c r="E18" s="6"/>
      <c r="F18" s="7"/>
      <c r="G18" s="6"/>
      <c r="H18" s="6"/>
      <c r="I18" s="6"/>
      <c r="J18" s="6"/>
      <c r="K18" s="6"/>
      <c r="L18" s="6"/>
    </row>
    <row r="19" spans="1:12">
      <c r="A19" s="6"/>
      <c r="B19" s="6"/>
      <c r="C19" s="6"/>
      <c r="D19" s="6"/>
      <c r="E19" s="6"/>
      <c r="F19" s="7"/>
      <c r="G19" s="6"/>
      <c r="H19" s="6"/>
      <c r="I19" s="6"/>
      <c r="J19" s="6"/>
      <c r="K19" s="6"/>
      <c r="L19" s="6"/>
    </row>
    <row r="20" spans="1:12">
      <c r="A20" s="6"/>
      <c r="B20" s="6"/>
      <c r="C20" s="6"/>
      <c r="D20" s="6"/>
      <c r="E20" s="6"/>
      <c r="F20" s="7"/>
      <c r="G20" s="6"/>
      <c r="H20" s="6"/>
      <c r="I20" s="6"/>
      <c r="J20" s="6"/>
      <c r="K20" s="6"/>
      <c r="L20" s="6"/>
    </row>
    <row r="21" spans="1:12">
      <c r="A21" s="6"/>
      <c r="B21" s="6"/>
      <c r="C21" s="6"/>
      <c r="D21" s="6"/>
      <c r="E21" s="6"/>
      <c r="F21" s="7"/>
      <c r="G21" s="6"/>
      <c r="H21" s="6"/>
      <c r="I21" s="6"/>
      <c r="J21" s="6"/>
      <c r="K21" s="6"/>
      <c r="L21" s="6"/>
    </row>
    <row r="22" spans="1:12">
      <c r="A22" s="6"/>
      <c r="B22" s="6"/>
      <c r="C22" s="6"/>
      <c r="D22" s="6"/>
      <c r="E22" s="6"/>
      <c r="F22" s="7"/>
      <c r="G22" s="6"/>
      <c r="H22" s="6"/>
      <c r="I22" s="6"/>
      <c r="J22" s="6"/>
      <c r="K22" s="6"/>
      <c r="L22" s="6"/>
    </row>
    <row r="23" spans="1:12">
      <c r="A23" s="6"/>
      <c r="B23" s="6"/>
      <c r="C23" s="6"/>
      <c r="D23" s="6"/>
      <c r="E23" s="6"/>
      <c r="F23" s="7"/>
      <c r="G23" s="6"/>
      <c r="H23" s="6"/>
      <c r="I23" s="6"/>
      <c r="J23" s="6"/>
      <c r="K23" s="6"/>
      <c r="L23" s="6"/>
    </row>
    <row r="24" spans="1:12">
      <c r="A24" s="6"/>
      <c r="B24" s="6"/>
      <c r="C24" s="6"/>
      <c r="D24" s="6"/>
      <c r="E24" s="6"/>
      <c r="F24" s="7"/>
      <c r="G24" s="6"/>
      <c r="H24" s="6"/>
      <c r="I24" s="6"/>
      <c r="J24" s="6"/>
      <c r="K24" s="6"/>
      <c r="L24" s="6"/>
    </row>
    <row r="25" spans="1:12">
      <c r="A25" s="6"/>
      <c r="B25" s="6"/>
      <c r="C25" s="6"/>
      <c r="D25" s="6"/>
      <c r="E25" s="6"/>
      <c r="F25" s="7"/>
      <c r="G25" s="6"/>
      <c r="H25" s="6"/>
      <c r="I25" s="6"/>
      <c r="J25" s="6"/>
      <c r="K25" s="6"/>
      <c r="L25" s="6"/>
    </row>
    <row r="26" spans="1:12">
      <c r="A26" s="6"/>
      <c r="B26" s="6"/>
      <c r="C26" s="6"/>
      <c r="D26" s="6"/>
      <c r="E26" s="6"/>
      <c r="F26" s="7"/>
      <c r="G26" s="6"/>
      <c r="H26" s="6"/>
      <c r="I26" s="6"/>
      <c r="J26" s="6"/>
      <c r="K26" s="6"/>
      <c r="L26" s="6"/>
    </row>
  </sheetData>
  <dataValidations count="4">
    <dataValidation allowBlank="1" showInputMessage="1" showErrorMessage="1" sqref="D1 D27:D1048576" xr:uid="{3E9320F9-AC80-4374-81EB-5968A1A2DE36}"/>
    <dataValidation type="list" allowBlank="1" showInputMessage="1" showErrorMessage="1" sqref="E2:E26 D13:D26" xr:uid="{61512B3B-C3DD-4210-AB3A-DD2FEE389EF7}">
      <formula1>"낮음,보통,높음"</formula1>
    </dataValidation>
    <dataValidation type="list" allowBlank="1" showInputMessage="1" showErrorMessage="1" sqref="L2:L26" xr:uid="{6416D16C-38C5-4539-AF58-32F4FC67AAF6}">
      <formula1>"신규,확인,수정중,재검증,완료"</formula1>
    </dataValidation>
    <dataValidation type="list" allowBlank="1" showInputMessage="1" showErrorMessage="1" sqref="D2:D12" xr:uid="{5B931E39-6DA1-4A20-8014-D09EB1A3F789}">
      <formula1>"낮음,보통,높음,치명"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734BB-5501-4AB3-BDDE-488570D81431}">
  <dimension ref="A6:H12"/>
  <sheetViews>
    <sheetView topLeftCell="E1" workbookViewId="0">
      <selection activeCell="G7" sqref="G7"/>
    </sheetView>
  </sheetViews>
  <sheetFormatPr defaultRowHeight="16.5"/>
  <cols>
    <col min="1" max="1" width="12.75" style="1" customWidth="1"/>
    <col min="2" max="2" width="19.625" style="1" customWidth="1"/>
    <col min="3" max="3" width="29.25" style="1" bestFit="1" customWidth="1"/>
    <col min="4" max="4" width="35" style="1" customWidth="1"/>
    <col min="5" max="6" width="74.5" style="1" bestFit="1" customWidth="1"/>
    <col min="7" max="7" width="5.25" style="1" bestFit="1" customWidth="1"/>
    <col min="8" max="8" width="9" style="1"/>
  </cols>
  <sheetData>
    <row r="6" spans="1:8">
      <c r="A6" s="4" t="s">
        <v>201</v>
      </c>
      <c r="B6" s="4" t="s">
        <v>202</v>
      </c>
      <c r="C6" s="4" t="s">
        <v>203</v>
      </c>
      <c r="D6" s="4" t="s">
        <v>204</v>
      </c>
      <c r="E6" s="4" t="s">
        <v>205</v>
      </c>
      <c r="F6" s="4" t="s">
        <v>154</v>
      </c>
      <c r="G6" s="4" t="s">
        <v>40</v>
      </c>
      <c r="H6" s="4" t="s">
        <v>206</v>
      </c>
    </row>
    <row r="7" spans="1:8" ht="66">
      <c r="A7" s="1" t="s">
        <v>207</v>
      </c>
      <c r="B7" s="1" t="s">
        <v>208</v>
      </c>
      <c r="C7" s="1" t="s">
        <v>209</v>
      </c>
      <c r="D7" s="10" t="s">
        <v>210</v>
      </c>
      <c r="E7" s="1" t="s">
        <v>211</v>
      </c>
      <c r="F7" s="1" t="s">
        <v>211</v>
      </c>
      <c r="G7" s="1" t="s">
        <v>9</v>
      </c>
    </row>
    <row r="8" spans="1:8" ht="66">
      <c r="A8" s="1" t="s">
        <v>212</v>
      </c>
      <c r="B8" s="1" t="s">
        <v>213</v>
      </c>
      <c r="C8" s="1" t="s">
        <v>214</v>
      </c>
      <c r="D8" s="10" t="s">
        <v>215</v>
      </c>
      <c r="E8" s="1" t="s">
        <v>216</v>
      </c>
      <c r="F8" s="1" t="s">
        <v>216</v>
      </c>
      <c r="G8" s="1" t="s">
        <v>9</v>
      </c>
    </row>
    <row r="9" spans="1:8" ht="49.5">
      <c r="A9" s="1" t="s">
        <v>217</v>
      </c>
      <c r="B9" s="1" t="s">
        <v>218</v>
      </c>
      <c r="C9" s="1" t="s">
        <v>219</v>
      </c>
      <c r="D9" s="10" t="s">
        <v>220</v>
      </c>
      <c r="E9" s="1" t="s">
        <v>221</v>
      </c>
      <c r="F9" s="1" t="s">
        <v>222</v>
      </c>
      <c r="G9" s="1" t="s">
        <v>9</v>
      </c>
    </row>
    <row r="10" spans="1:8" ht="49.5">
      <c r="A10" s="1" t="s">
        <v>223</v>
      </c>
      <c r="B10" s="1" t="s">
        <v>224</v>
      </c>
      <c r="C10" s="1" t="s">
        <v>225</v>
      </c>
      <c r="D10" s="10" t="s">
        <v>226</v>
      </c>
      <c r="E10" s="1" t="s">
        <v>227</v>
      </c>
      <c r="F10" s="1" t="s">
        <v>228</v>
      </c>
      <c r="G10" s="1" t="s">
        <v>9</v>
      </c>
    </row>
    <row r="11" spans="1:8" ht="49.5">
      <c r="A11" s="1" t="s">
        <v>229</v>
      </c>
      <c r="B11" s="1" t="s">
        <v>230</v>
      </c>
      <c r="C11" s="1" t="s">
        <v>231</v>
      </c>
      <c r="D11" s="10" t="s">
        <v>232</v>
      </c>
      <c r="E11" s="1" t="s">
        <v>233</v>
      </c>
      <c r="F11" s="1" t="s">
        <v>234</v>
      </c>
      <c r="G11" s="1" t="s">
        <v>9</v>
      </c>
    </row>
    <row r="12" spans="1:8" ht="49.5">
      <c r="A12" s="1" t="s">
        <v>235</v>
      </c>
      <c r="B12" s="1" t="s">
        <v>236</v>
      </c>
      <c r="C12" s="1" t="s">
        <v>237</v>
      </c>
      <c r="D12" s="10" t="s">
        <v>238</v>
      </c>
      <c r="E12" s="1" t="s">
        <v>239</v>
      </c>
      <c r="F12" s="1" t="s">
        <v>240</v>
      </c>
      <c r="G12" s="1" t="s">
        <v>9</v>
      </c>
    </row>
  </sheetData>
  <dataValidations count="1">
    <dataValidation type="list" allowBlank="1" showInputMessage="1" showErrorMessage="1" sqref="G7:G12" xr:uid="{FD1A81EC-4013-4D02-8F36-D86826E59CAE}">
      <formula1>"Pass,Fail"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5C7B-2DB3-436A-8DC8-F88BA3FDE64B}">
  <dimension ref="A6:I24"/>
  <sheetViews>
    <sheetView topLeftCell="E1" workbookViewId="0">
      <selection activeCell="I17" sqref="I17"/>
    </sheetView>
  </sheetViews>
  <sheetFormatPr defaultRowHeight="16.5"/>
  <cols>
    <col min="1" max="1" width="14.375" bestFit="1" customWidth="1"/>
    <col min="3" max="3" width="29.25" bestFit="1" customWidth="1"/>
    <col min="4" max="4" width="48.625" bestFit="1" customWidth="1"/>
    <col min="5" max="5" width="52.125" bestFit="1" customWidth="1"/>
    <col min="6" max="6" width="75.75" bestFit="1" customWidth="1"/>
    <col min="7" max="7" width="108" style="1" bestFit="1" customWidth="1"/>
    <col min="9" max="9" width="20.375" bestFit="1" customWidth="1"/>
  </cols>
  <sheetData>
    <row r="6" spans="1:9">
      <c r="A6" s="4" t="s">
        <v>241</v>
      </c>
      <c r="B6" s="4" t="s">
        <v>7</v>
      </c>
      <c r="C6" s="4" t="s">
        <v>242</v>
      </c>
      <c r="D6" s="4" t="s">
        <v>243</v>
      </c>
      <c r="E6" s="4" t="s">
        <v>244</v>
      </c>
      <c r="F6" s="4" t="s">
        <v>153</v>
      </c>
      <c r="G6" s="4" t="s">
        <v>154</v>
      </c>
      <c r="H6" s="4" t="s">
        <v>40</v>
      </c>
      <c r="I6" s="4" t="s">
        <v>206</v>
      </c>
    </row>
    <row r="7" spans="1:9">
      <c r="A7" s="1" t="s">
        <v>56</v>
      </c>
      <c r="B7" s="1" t="s">
        <v>245</v>
      </c>
      <c r="C7" s="1" t="s">
        <v>246</v>
      </c>
      <c r="D7" s="1" t="s">
        <v>247</v>
      </c>
      <c r="E7" s="1" t="s">
        <v>248</v>
      </c>
      <c r="F7" s="1" t="s">
        <v>249</v>
      </c>
      <c r="G7" s="1" t="s">
        <v>250</v>
      </c>
      <c r="H7" s="1" t="s">
        <v>9</v>
      </c>
      <c r="I7" s="1"/>
    </row>
    <row r="8" spans="1:9">
      <c r="A8" s="1" t="s">
        <v>251</v>
      </c>
      <c r="B8" s="1" t="s">
        <v>245</v>
      </c>
      <c r="C8" s="1" t="s">
        <v>252</v>
      </c>
      <c r="D8" s="1" t="s">
        <v>253</v>
      </c>
      <c r="E8" s="1" t="s">
        <v>254</v>
      </c>
      <c r="F8" s="1" t="s">
        <v>255</v>
      </c>
      <c r="G8" s="1" t="s">
        <v>256</v>
      </c>
      <c r="H8" s="1" t="s">
        <v>9</v>
      </c>
      <c r="I8" s="1"/>
    </row>
    <row r="9" spans="1:9">
      <c r="A9" s="1" t="s">
        <v>83</v>
      </c>
      <c r="B9" s="1" t="s">
        <v>257</v>
      </c>
      <c r="C9" s="1" t="s">
        <v>258</v>
      </c>
      <c r="D9" s="1" t="s">
        <v>259</v>
      </c>
      <c r="E9" s="1" t="s">
        <v>260</v>
      </c>
      <c r="F9" s="1" t="s">
        <v>261</v>
      </c>
      <c r="G9" s="1" t="s">
        <v>262</v>
      </c>
      <c r="H9" s="1" t="s">
        <v>10</v>
      </c>
      <c r="I9" s="1"/>
    </row>
    <row r="10" spans="1:9">
      <c r="A10" s="1" t="s">
        <v>90</v>
      </c>
      <c r="B10" s="1" t="s">
        <v>245</v>
      </c>
      <c r="C10" s="1" t="s">
        <v>263</v>
      </c>
      <c r="D10" s="1" t="s">
        <v>264</v>
      </c>
      <c r="E10" s="1" t="s">
        <v>265</v>
      </c>
      <c r="F10" s="1" t="s">
        <v>266</v>
      </c>
      <c r="G10" s="1" t="s">
        <v>267</v>
      </c>
      <c r="H10" s="1" t="s">
        <v>9</v>
      </c>
      <c r="I10" s="1"/>
    </row>
    <row r="11" spans="1:9">
      <c r="A11" s="1" t="s">
        <v>98</v>
      </c>
      <c r="B11" s="1" t="s">
        <v>245</v>
      </c>
      <c r="C11" s="1" t="s">
        <v>268</v>
      </c>
      <c r="D11" s="1" t="s">
        <v>269</v>
      </c>
      <c r="E11" s="1" t="s">
        <v>270</v>
      </c>
      <c r="F11" s="1" t="s">
        <v>271</v>
      </c>
      <c r="G11" s="1" t="s">
        <v>272</v>
      </c>
      <c r="H11" s="1" t="s">
        <v>9</v>
      </c>
      <c r="I11" s="1"/>
    </row>
    <row r="12" spans="1:9">
      <c r="A12" s="1" t="s">
        <v>118</v>
      </c>
      <c r="B12" s="1" t="s">
        <v>257</v>
      </c>
      <c r="C12" s="1" t="s">
        <v>273</v>
      </c>
      <c r="D12" s="1" t="s">
        <v>274</v>
      </c>
      <c r="E12" s="1" t="s">
        <v>275</v>
      </c>
      <c r="F12" s="1" t="s">
        <v>276</v>
      </c>
      <c r="G12" s="1" t="s">
        <v>277</v>
      </c>
      <c r="H12" s="1" t="s">
        <v>10</v>
      </c>
      <c r="I12" s="1"/>
    </row>
    <row r="13" spans="1:9">
      <c r="A13" s="1" t="s">
        <v>132</v>
      </c>
      <c r="B13" s="1" t="s">
        <v>245</v>
      </c>
      <c r="C13" s="1" t="s">
        <v>278</v>
      </c>
      <c r="D13" s="1" t="s">
        <v>279</v>
      </c>
      <c r="E13" s="10" t="s">
        <v>280</v>
      </c>
      <c r="F13" s="1" t="s">
        <v>281</v>
      </c>
      <c r="G13" s="1" t="s">
        <v>282</v>
      </c>
      <c r="H13" s="1" t="s">
        <v>9</v>
      </c>
      <c r="I13" s="1"/>
    </row>
    <row r="15" spans="1:9">
      <c r="A15" s="1"/>
      <c r="B15" s="1"/>
      <c r="C15" s="1"/>
      <c r="D15" s="1" t="s">
        <v>283</v>
      </c>
      <c r="E15" s="1"/>
      <c r="F15" s="1"/>
      <c r="H15" s="1"/>
      <c r="I15" s="1"/>
    </row>
    <row r="16" spans="1:9">
      <c r="A16" s="1"/>
      <c r="B16" s="1"/>
      <c r="C16" s="1"/>
      <c r="D16" s="1"/>
      <c r="E16" s="1"/>
      <c r="F16" s="1"/>
      <c r="H16" s="1"/>
      <c r="I16" s="1"/>
    </row>
    <row r="17" spans="1:9">
      <c r="A17" s="1"/>
      <c r="B17" s="1"/>
      <c r="C17" s="1"/>
      <c r="D17" s="1"/>
      <c r="E17" s="1"/>
      <c r="F17" s="1"/>
      <c r="H17" s="1"/>
      <c r="I17" s="1"/>
    </row>
    <row r="18" spans="1:9">
      <c r="A18" s="1"/>
      <c r="B18" s="1"/>
      <c r="C18" s="1"/>
      <c r="D18" s="1"/>
      <c r="E18" s="1"/>
      <c r="F18" s="1"/>
      <c r="H18" s="1"/>
      <c r="I18" s="1"/>
    </row>
    <row r="19" spans="1:9">
      <c r="A19" s="1"/>
      <c r="B19" s="1"/>
      <c r="C19" s="1"/>
      <c r="D19" s="1"/>
      <c r="E19" s="1"/>
      <c r="F19" s="1"/>
      <c r="H19" s="1"/>
      <c r="I19" s="1"/>
    </row>
    <row r="20" spans="1:9">
      <c r="A20" s="1"/>
      <c r="B20" s="1"/>
      <c r="C20" s="1"/>
      <c r="D20" s="1"/>
      <c r="E20" s="1"/>
      <c r="F20" s="1"/>
      <c r="H20" s="1"/>
      <c r="I20" s="1"/>
    </row>
    <row r="21" spans="1:9">
      <c r="A21" s="1"/>
      <c r="B21" s="1"/>
      <c r="C21" s="1"/>
      <c r="D21" s="1"/>
      <c r="E21" s="1"/>
      <c r="F21" s="1"/>
      <c r="H21" s="1"/>
      <c r="I21" s="1"/>
    </row>
    <row r="22" spans="1:9">
      <c r="A22" s="1"/>
      <c r="B22" s="1"/>
      <c r="C22" s="1"/>
      <c r="D22" s="1"/>
      <c r="E22" s="1"/>
      <c r="F22" s="1"/>
      <c r="H22" s="1"/>
      <c r="I22" s="1"/>
    </row>
    <row r="23" spans="1:9">
      <c r="A23" s="1"/>
      <c r="B23" s="1"/>
      <c r="C23" s="1"/>
      <c r="D23" s="1"/>
      <c r="E23" s="1"/>
      <c r="F23" s="1"/>
      <c r="H23" s="1"/>
      <c r="I23" s="1"/>
    </row>
    <row r="24" spans="1:9">
      <c r="A24" s="1"/>
      <c r="B24" s="1"/>
      <c r="C24" s="1"/>
      <c r="D24" s="1"/>
      <c r="E24" s="1"/>
      <c r="F24" s="1"/>
      <c r="H24" s="1"/>
      <c r="I24" s="1"/>
    </row>
  </sheetData>
  <dataValidations count="3">
    <dataValidation type="list" allowBlank="1" showInputMessage="1" showErrorMessage="1" sqref="B17:B18" xr:uid="{34E7167F-90EE-46B7-9049-29783B0EC5C9}">
      <formula1>"수정확인,수정필요,주변기능회귀"</formula1>
    </dataValidation>
    <dataValidation type="list" allowBlank="1" showInputMessage="1" showErrorMessage="1" sqref="H15:H21 H7:H13" xr:uid="{015C106E-6B9D-4BD5-B3C4-F61D3B2B8198}">
      <formula1>"Pass,Fail"</formula1>
    </dataValidation>
    <dataValidation type="list" allowBlank="1" showInputMessage="1" showErrorMessage="1" sqref="B15:B16 B7:B13" xr:uid="{0051F296-8294-4BCF-AA2E-E1458EC393EB}">
      <formula1>"수정 확인,수정 필요,주변기능 회귀"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2026-10-05T06:47:16Z</dcterms:created>
  <dcterms:modified xsi:type="dcterms:W3CDTF">2026-10-16T03:48:00Z</dcterms:modified>
  <cp:category/>
  <cp:contentStatus/>
</cp:coreProperties>
</file>